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見積単価" sheetId="1" state="visible" r:id="rId3"/>
    <sheet name="注文書" sheetId="2" state="visible" r:id="rId4"/>
    <sheet name="請求書" sheetId="3" state="visible" r:id="rId5"/>
  </sheets>
  <definedNames>
    <definedName function="false" hidden="false" localSheetId="1" name="_xlnm.Print_Area" vbProcedure="false">注文書!$A$1:$G$35</definedName>
    <definedName function="false" hidden="false" localSheetId="2" name="_xlnm.Print_Area" vbProcedure="false">請求書!$A$1:$G$37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3" authorId="0">
      <text>
        <r>
          <rPr>
            <sz val="10"/>
            <rFont val="WenQuanYi Zen Hei"/>
            <family val="2"/>
          </rPr>
          <t xml:space="preserve">プルダウンで改定前／改定後の単価を切り替えます。</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F10" authorId="0">
      <text>
        <r>
          <rPr>
            <sz val="10"/>
            <rFont val="WenQuanYi Zen Hei"/>
            <family val="2"/>
          </rPr>
          <t xml:space="preserve">適格請求書発行事業者の登録番号（</t>
        </r>
        <r>
          <rPr>
            <sz val="10"/>
            <rFont val="Arial"/>
            <family val="2"/>
          </rPr>
          <t xml:space="preserve">T</t>
        </r>
        <r>
          <rPr>
            <sz val="10"/>
            <rFont val="WenQuanYi Zen Hei"/>
            <family val="2"/>
          </rPr>
          <t xml:space="preserve">＋</t>
        </r>
        <r>
          <rPr>
            <sz val="10"/>
            <rFont val="Arial"/>
            <family val="2"/>
          </rPr>
          <t xml:space="preserve">13</t>
        </r>
        <r>
          <rPr>
            <sz val="10"/>
            <rFont val="WenQuanYi Zen Hei"/>
            <family val="2"/>
          </rPr>
          <t xml:space="preserve">桁）を入力してください。</t>
        </r>
      </text>
    </comment>
  </commentList>
</comments>
</file>

<file path=xl/sharedStrings.xml><?xml version="1.0" encoding="utf-8"?>
<sst xmlns="http://schemas.openxmlformats.org/spreadsheetml/2006/main" count="98" uniqueCount="75">
  <si>
    <r>
      <rPr>
        <b val="true"/>
        <sz val="12"/>
        <color rgb="FF000000"/>
        <rFont val="MS Pゴシック"/>
        <family val="0"/>
        <charset val="1"/>
      </rPr>
      <t xml:space="preserve">2026</t>
    </r>
    <r>
      <rPr>
        <b val="true"/>
        <sz val="12"/>
        <color rgb="FF000000"/>
        <rFont val="WenQuanYi Zen Hei"/>
        <family val="2"/>
      </rPr>
      <t xml:space="preserve">年</t>
    </r>
    <r>
      <rPr>
        <b val="true"/>
        <sz val="12"/>
        <color rgb="FF000000"/>
        <rFont val="MS Pゴシック"/>
        <family val="0"/>
        <charset val="1"/>
      </rPr>
      <t xml:space="preserve">10</t>
    </r>
    <r>
      <rPr>
        <b val="true"/>
        <sz val="12"/>
        <color rgb="FF000000"/>
        <rFont val="WenQuanYi Zen Hei"/>
        <family val="2"/>
      </rPr>
      <t xml:space="preserve">月</t>
    </r>
    <r>
      <rPr>
        <b val="true"/>
        <sz val="12"/>
        <color rgb="FF000000"/>
        <rFont val="MS Pゴシック"/>
        <family val="0"/>
        <charset val="1"/>
      </rPr>
      <t xml:space="preserve">5</t>
    </r>
    <r>
      <rPr>
        <b val="true"/>
        <sz val="12"/>
        <color rgb="FF000000"/>
        <rFont val="WenQuanYi Zen Hei"/>
        <family val="2"/>
      </rPr>
      <t xml:space="preserve">日付 御見積書（ミツヤ産業㈱ 福山営業所 御中）の単価</t>
    </r>
  </si>
  <si>
    <r>
      <rPr>
        <sz val="9"/>
        <color rgb="FF000000"/>
        <rFont val="WenQuanYi Zen Hei"/>
        <family val="2"/>
      </rPr>
      <t xml:space="preserve">出典：お客様提供の見積書</t>
    </r>
    <r>
      <rPr>
        <sz val="9"/>
        <color rgb="FF000000"/>
        <rFont val="MS Pゴシック"/>
        <family val="0"/>
        <charset val="1"/>
      </rPr>
      <t xml:space="preserve">PDF</t>
    </r>
    <r>
      <rPr>
        <sz val="9"/>
        <color rgb="FF000000"/>
        <rFont val="WenQuanYi Zen Hei"/>
        <family val="2"/>
      </rPr>
      <t xml:space="preserve">（</t>
    </r>
    <r>
      <rPr>
        <sz val="9"/>
        <color rgb="FF000000"/>
        <rFont val="MS Pゴシック"/>
        <family val="0"/>
        <charset val="1"/>
      </rPr>
      <t xml:space="preserve">2</t>
    </r>
    <r>
      <rPr>
        <sz val="9"/>
        <color rgb="FF000000"/>
        <rFont val="WenQuanYi Zen Hei"/>
        <family val="2"/>
      </rPr>
      <t xml:space="preserve">ページ）。単価は税別。</t>
    </r>
  </si>
  <si>
    <t xml:space="preserve">No</t>
  </si>
  <si>
    <t xml:space="preserve">品名</t>
  </si>
  <si>
    <t xml:space="preserve">単位</t>
  </si>
  <si>
    <r>
      <rPr>
        <b val="true"/>
        <sz val="10"/>
        <color rgb="FF000000"/>
        <rFont val="WenQuanYi Zen Hei"/>
        <family val="2"/>
      </rPr>
      <t xml:space="preserve">改定前単価（～</t>
    </r>
    <r>
      <rPr>
        <b val="true"/>
        <sz val="10"/>
        <color rgb="FF000000"/>
        <rFont val="MS Pゴシック"/>
        <family val="0"/>
        <charset val="1"/>
      </rPr>
      <t xml:space="preserve">2026/10/20</t>
    </r>
    <r>
      <rPr>
        <b val="true"/>
        <sz val="10"/>
        <color rgb="FF000000"/>
        <rFont val="WenQuanYi Zen Hei"/>
        <family val="2"/>
      </rPr>
      <t xml:space="preserve">）</t>
    </r>
  </si>
  <si>
    <r>
      <rPr>
        <b val="true"/>
        <sz val="10"/>
        <color rgb="FF000000"/>
        <rFont val="WenQuanYi Zen Hei"/>
        <family val="2"/>
      </rPr>
      <t xml:space="preserve">改定後単価（</t>
    </r>
    <r>
      <rPr>
        <b val="true"/>
        <sz val="10"/>
        <color rgb="FF000000"/>
        <rFont val="MS Pゴシック"/>
        <family val="0"/>
        <charset val="1"/>
      </rPr>
      <t xml:space="preserve">2026/10/21</t>
    </r>
    <r>
      <rPr>
        <b val="true"/>
        <sz val="10"/>
        <color rgb="FF000000"/>
        <rFont val="WenQuanYi Zen Hei"/>
        <family val="2"/>
      </rPr>
      <t xml:space="preserve">～）</t>
    </r>
  </si>
  <si>
    <t xml:space="preserve">備考</t>
  </si>
  <si>
    <r>
      <rPr>
        <sz val="10"/>
        <color rgb="FF000000"/>
        <rFont val="MS Pゴシック"/>
        <family val="0"/>
        <charset val="1"/>
      </rPr>
      <t xml:space="preserve">BP-130LiⅢα </t>
    </r>
    <r>
      <rPr>
        <sz val="10"/>
        <color rgb="FF000000"/>
        <rFont val="WenQuanYi Zen Hei"/>
        <family val="2"/>
      </rPr>
      <t xml:space="preserve">本体のみ</t>
    </r>
  </si>
  <si>
    <t xml:space="preserve">台</t>
  </si>
  <si>
    <r>
      <rPr>
        <sz val="10"/>
        <color rgb="FF000000"/>
        <rFont val="MS Pゴシック"/>
        <family val="0"/>
        <charset val="1"/>
      </rPr>
      <t xml:space="preserve">BP-130LiⅢα</t>
    </r>
    <r>
      <rPr>
        <sz val="10"/>
        <color rgb="FF000000"/>
        <rFont val="WenQuanYi Zen Hei"/>
        <family val="2"/>
      </rPr>
      <t xml:space="preserve">用パッド台</t>
    </r>
  </si>
  <si>
    <t xml:space="preserve">枚</t>
  </si>
  <si>
    <r>
      <rPr>
        <sz val="10"/>
        <color rgb="FF000000"/>
        <rFont val="MS Pゴシック"/>
        <family val="0"/>
        <charset val="1"/>
      </rPr>
      <t xml:space="preserve">BP-130LiⅢα</t>
    </r>
    <r>
      <rPr>
        <sz val="10"/>
        <color rgb="FF000000"/>
        <rFont val="WenQuanYi Zen Hei"/>
        <family val="2"/>
      </rPr>
      <t xml:space="preserve">用タンク</t>
    </r>
  </si>
  <si>
    <t xml:space="preserve">個</t>
  </si>
  <si>
    <r>
      <rPr>
        <sz val="10"/>
        <color rgb="FF000000"/>
        <rFont val="WenQuanYi Zen Hei"/>
        <family val="2"/>
      </rPr>
      <t xml:space="preserve">充電器 </t>
    </r>
    <r>
      <rPr>
        <sz val="10"/>
        <color rgb="FF000000"/>
        <rFont val="MS Pゴシック"/>
        <family val="0"/>
        <charset val="1"/>
      </rPr>
      <t xml:space="preserve">CLQ-1N</t>
    </r>
  </si>
  <si>
    <r>
      <rPr>
        <sz val="10"/>
        <color rgb="FF000000"/>
        <rFont val="WenQuanYi Zen Hei"/>
        <family val="2"/>
      </rPr>
      <t xml:space="preserve">バッテリー</t>
    </r>
    <r>
      <rPr>
        <sz val="10"/>
        <color rgb="FF000000"/>
        <rFont val="MS Pゴシック"/>
        <family val="0"/>
        <charset val="1"/>
      </rPr>
      <t xml:space="preserve">LV14MX 14Ah</t>
    </r>
  </si>
  <si>
    <r>
      <rPr>
        <sz val="10"/>
        <color rgb="FF000000"/>
        <rFont val="WenQuanYi Zen Hei"/>
        <family val="2"/>
      </rPr>
      <t xml:space="preserve">使用目安</t>
    </r>
    <r>
      <rPr>
        <sz val="10"/>
        <color rgb="FF000000"/>
        <rFont val="MS Pゴシック"/>
        <family val="0"/>
        <charset val="1"/>
      </rPr>
      <t xml:space="preserve">100min</t>
    </r>
  </si>
  <si>
    <r>
      <rPr>
        <sz val="10"/>
        <color rgb="FF000000"/>
        <rFont val="WenQuanYi Zen Hei"/>
        <family val="2"/>
      </rPr>
      <t xml:space="preserve">バッテリー</t>
    </r>
    <r>
      <rPr>
        <sz val="10"/>
        <color rgb="FF000000"/>
        <rFont val="MS Pゴシック"/>
        <family val="0"/>
        <charset val="1"/>
      </rPr>
      <t xml:space="preserve">LV925MX</t>
    </r>
  </si>
  <si>
    <r>
      <rPr>
        <sz val="10"/>
        <color rgb="FF000000"/>
        <rFont val="WenQuanYi Zen Hei"/>
        <family val="2"/>
      </rPr>
      <t xml:space="preserve">使用目安</t>
    </r>
    <r>
      <rPr>
        <sz val="10"/>
        <color rgb="FF000000"/>
        <rFont val="MS Pゴシック"/>
        <family val="0"/>
        <charset val="1"/>
      </rPr>
      <t xml:space="preserve">75min</t>
    </r>
  </si>
  <si>
    <r>
      <rPr>
        <sz val="10"/>
        <color rgb="FF000000"/>
        <rFont val="WenQuanYi Zen Hei"/>
        <family val="2"/>
      </rPr>
      <t xml:space="preserve">コンポジットパッド</t>
    </r>
    <r>
      <rPr>
        <sz val="10"/>
        <color rgb="FF000000"/>
        <rFont val="MS Pゴシック"/>
        <family val="0"/>
        <charset val="1"/>
      </rPr>
      <t xml:space="preserve">13</t>
    </r>
    <r>
      <rPr>
        <sz val="10"/>
        <color rgb="FF000000"/>
        <rFont val="WenQuanYi Zen Hei"/>
        <family val="2"/>
      </rPr>
      <t xml:space="preserve">インチ シルバー</t>
    </r>
  </si>
  <si>
    <t xml:space="preserve">軽汚染用</t>
  </si>
  <si>
    <r>
      <rPr>
        <sz val="10"/>
        <color rgb="FF000000"/>
        <rFont val="WenQuanYi Zen Hei"/>
        <family val="2"/>
      </rPr>
      <t xml:space="preserve">コンポジットパッド</t>
    </r>
    <r>
      <rPr>
        <sz val="10"/>
        <color rgb="FF000000"/>
        <rFont val="MS Pゴシック"/>
        <family val="0"/>
        <charset val="1"/>
      </rPr>
      <t xml:space="preserve">13</t>
    </r>
    <r>
      <rPr>
        <sz val="10"/>
        <color rgb="FF000000"/>
        <rFont val="WenQuanYi Zen Hei"/>
        <family val="2"/>
      </rPr>
      <t xml:space="preserve">インチ ゴールド</t>
    </r>
  </si>
  <si>
    <t xml:space="preserve">重汚染用</t>
  </si>
  <si>
    <r>
      <rPr>
        <sz val="10"/>
        <color rgb="FF000000"/>
        <rFont val="WenQuanYi Zen Hei"/>
        <family val="2"/>
      </rPr>
      <t xml:space="preserve">ナイロンブラシ</t>
    </r>
    <r>
      <rPr>
        <sz val="10"/>
        <color rgb="FF000000"/>
        <rFont val="MS Pゴシック"/>
        <family val="0"/>
        <charset val="1"/>
      </rPr>
      <t xml:space="preserve">13</t>
    </r>
    <r>
      <rPr>
        <sz val="10"/>
        <color rgb="FF000000"/>
        <rFont val="WenQuanYi Zen Hei"/>
        <family val="2"/>
      </rPr>
      <t xml:space="preserve">インチ用</t>
    </r>
  </si>
  <si>
    <t xml:space="preserve">単価を変更する場合はこのシートの青字を書き換えると、注文書・請求書に反映されます。</t>
  </si>
  <si>
    <t xml:space="preserve">注　文　書</t>
  </si>
  <si>
    <t xml:space="preserve">注文番号</t>
  </si>
  <si>
    <t xml:space="preserve">有限会社フクショウ　御中</t>
  </si>
  <si>
    <t xml:space="preserve">注文日</t>
  </si>
  <si>
    <r>
      <rPr>
        <sz val="9"/>
        <color rgb="FF000000"/>
        <rFont val="WenQuanYi Zen Hei"/>
        <family val="2"/>
      </rPr>
      <t xml:space="preserve">〒</t>
    </r>
    <r>
      <rPr>
        <sz val="9"/>
        <color rgb="FF000000"/>
        <rFont val="MS Pゴシック"/>
        <family val="0"/>
        <charset val="1"/>
      </rPr>
      <t xml:space="preserve">721-0974 </t>
    </r>
    <r>
      <rPr>
        <sz val="9"/>
        <color rgb="FF000000"/>
        <rFont val="WenQuanYi Zen Hei"/>
        <family val="2"/>
      </rPr>
      <t xml:space="preserve">福山市東深津町</t>
    </r>
    <r>
      <rPr>
        <sz val="9"/>
        <color rgb="FF000000"/>
        <rFont val="MS Pゴシック"/>
        <family val="0"/>
        <charset val="1"/>
      </rPr>
      <t xml:space="preserve">3</t>
    </r>
    <r>
      <rPr>
        <sz val="9"/>
        <color rgb="FF000000"/>
        <rFont val="WenQuanYi Zen Hei"/>
        <family val="2"/>
      </rPr>
      <t xml:space="preserve">丁目</t>
    </r>
    <r>
      <rPr>
        <sz val="9"/>
        <color rgb="FF000000"/>
        <rFont val="MS Pゴシック"/>
        <family val="0"/>
        <charset val="1"/>
      </rPr>
      <t xml:space="preserve">11</t>
    </r>
    <r>
      <rPr>
        <sz val="9"/>
        <color rgb="FF000000"/>
        <rFont val="WenQuanYi Zen Hei"/>
        <family val="2"/>
      </rPr>
      <t xml:space="preserve">番</t>
    </r>
    <r>
      <rPr>
        <sz val="9"/>
        <color rgb="FF000000"/>
        <rFont val="MS Pゴシック"/>
        <family val="0"/>
        <charset val="1"/>
      </rPr>
      <t xml:space="preserve">23</t>
    </r>
    <r>
      <rPr>
        <sz val="9"/>
        <color rgb="FF000000"/>
        <rFont val="WenQuanYi Zen Hei"/>
        <family val="2"/>
      </rPr>
      <t xml:space="preserve">号</t>
    </r>
  </si>
  <si>
    <t xml:space="preserve">TEL 084-923-9521 / FAX 084-923-9520</t>
  </si>
  <si>
    <t xml:space="preserve">発注者</t>
  </si>
  <si>
    <t xml:space="preserve">ミツヤ産業株式会社　福山営業所</t>
  </si>
  <si>
    <t xml:space="preserve">下記の通り注文いたします。</t>
  </si>
  <si>
    <t xml:space="preserve">住所</t>
  </si>
  <si>
    <r>
      <rPr>
        <sz val="9"/>
        <color rgb="FF000000"/>
        <rFont val="WenQuanYi Zen Hei"/>
        <family val="2"/>
      </rPr>
      <t xml:space="preserve">（</t>
    </r>
    <r>
      <rPr>
        <sz val="9"/>
        <color rgb="FF000000"/>
        <rFont val="MS Pゴシック"/>
        <family val="0"/>
        <charset val="1"/>
      </rPr>
      <t xml:space="preserve">2026</t>
    </r>
    <r>
      <rPr>
        <sz val="9"/>
        <color rgb="FF000000"/>
        <rFont val="WenQuanYi Zen Hei"/>
        <family val="2"/>
      </rPr>
      <t xml:space="preserve">年</t>
    </r>
    <r>
      <rPr>
        <sz val="9"/>
        <color rgb="FF000000"/>
        <rFont val="MS Pゴシック"/>
        <family val="0"/>
        <charset val="1"/>
      </rPr>
      <t xml:space="preserve">10</t>
    </r>
    <r>
      <rPr>
        <sz val="9"/>
        <color rgb="FF000000"/>
        <rFont val="WenQuanYi Zen Hei"/>
        <family val="2"/>
      </rPr>
      <t xml:space="preserve">月</t>
    </r>
    <r>
      <rPr>
        <sz val="9"/>
        <color rgb="FF000000"/>
        <rFont val="MS Pゴシック"/>
        <family val="0"/>
        <charset val="1"/>
      </rPr>
      <t xml:space="preserve">5</t>
    </r>
    <r>
      <rPr>
        <sz val="9"/>
        <color rgb="FF000000"/>
        <rFont val="WenQuanYi Zen Hei"/>
        <family val="2"/>
      </rPr>
      <t xml:space="preserve">日付 御見積書に基づく）</t>
    </r>
  </si>
  <si>
    <t xml:space="preserve">TEL</t>
  </si>
  <si>
    <t xml:space="preserve">担当者</t>
  </si>
  <si>
    <t xml:space="preserve">納入場所</t>
  </si>
  <si>
    <t xml:space="preserve">貴社</t>
  </si>
  <si>
    <t xml:space="preserve">印</t>
  </si>
  <si>
    <t xml:space="preserve">納期</t>
  </si>
  <si>
    <t xml:space="preserve">支払条件</t>
  </si>
  <si>
    <t xml:space="preserve">適用価格</t>
  </si>
  <si>
    <r>
      <rPr>
        <b val="true"/>
        <sz val="10"/>
        <color rgb="FF000000"/>
        <rFont val="WenQuanYi Zen Hei"/>
        <family val="2"/>
      </rPr>
      <t xml:space="preserve">改定前（～</t>
    </r>
    <r>
      <rPr>
        <b val="true"/>
        <sz val="10"/>
        <color rgb="FF000000"/>
        <rFont val="MS Pゴシック"/>
        <family val="0"/>
        <charset val="1"/>
      </rPr>
      <t xml:space="preserve">2026/10/20</t>
    </r>
    <r>
      <rPr>
        <b val="true"/>
        <sz val="10"/>
        <color rgb="FF000000"/>
        <rFont val="WenQuanYi Zen Hei"/>
        <family val="2"/>
      </rPr>
      <t xml:space="preserve">）</t>
    </r>
  </si>
  <si>
    <t xml:space="preserve">合計（税込）</t>
  </si>
  <si>
    <t xml:space="preserve">← 消費税率</t>
  </si>
  <si>
    <t xml:space="preserve">数量</t>
  </si>
  <si>
    <t xml:space="preserve">単価</t>
  </si>
  <si>
    <t xml:space="preserve">金額</t>
  </si>
  <si>
    <t xml:space="preserve">小計（税別）</t>
  </si>
  <si>
    <r>
      <rPr>
        <sz val="10"/>
        <color rgb="FF000000"/>
        <rFont val="WenQuanYi Zen Hei"/>
        <family val="2"/>
      </rPr>
      <t xml:space="preserve">消費税（</t>
    </r>
    <r>
      <rPr>
        <sz val="10"/>
        <color rgb="FF000000"/>
        <rFont val="MS Pゴシック"/>
        <family val="0"/>
        <charset val="1"/>
      </rPr>
      <t xml:space="preserve">10%</t>
    </r>
    <r>
      <rPr>
        <sz val="10"/>
        <color rgb="FF000000"/>
        <rFont val="WenQuanYi Zen Hei"/>
        <family val="2"/>
      </rPr>
      <t xml:space="preserve">対象）</t>
    </r>
  </si>
  <si>
    <t xml:space="preserve">備考：</t>
  </si>
  <si>
    <t xml:space="preserve">【記入方法】黄色のセル（注文番号・注文日・住所等・納期・支払条件・数量・適用価格）を記入してください。不要な品目は数量を空欄にすると金額が空欄になります。</t>
  </si>
  <si>
    <t xml:space="preserve">請　求　書</t>
  </si>
  <si>
    <t xml:space="preserve">請求番号</t>
  </si>
  <si>
    <t xml:space="preserve">ミツヤ産業株式会社　福山営業所　御中</t>
  </si>
  <si>
    <t xml:space="preserve">請求日</t>
  </si>
  <si>
    <t xml:space="preserve">下記の通りご請求申し上げます。</t>
  </si>
  <si>
    <r>
      <rPr>
        <sz val="9"/>
        <color rgb="FF000000"/>
        <rFont val="WenQuanYi Zen Hei"/>
        <family val="2"/>
      </rPr>
      <t xml:space="preserve">〒</t>
    </r>
    <r>
      <rPr>
        <sz val="9"/>
        <color rgb="FF000000"/>
        <rFont val="MS Pゴシック"/>
        <family val="0"/>
        <charset val="1"/>
      </rPr>
      <t xml:space="preserve">721-0974</t>
    </r>
  </si>
  <si>
    <r>
      <rPr>
        <sz val="9"/>
        <color rgb="FF000000"/>
        <rFont val="WenQuanYi Zen Hei"/>
        <family val="2"/>
      </rPr>
      <t xml:space="preserve">福山市東深津町</t>
    </r>
    <r>
      <rPr>
        <sz val="9"/>
        <color rgb="FF000000"/>
        <rFont val="MS Pゴシック"/>
        <family val="0"/>
        <charset val="1"/>
      </rPr>
      <t xml:space="preserve">3</t>
    </r>
    <r>
      <rPr>
        <sz val="9"/>
        <color rgb="FF000000"/>
        <rFont val="WenQuanYi Zen Hei"/>
        <family val="2"/>
      </rPr>
      <t xml:space="preserve">丁目</t>
    </r>
    <r>
      <rPr>
        <sz val="9"/>
        <color rgb="FF000000"/>
        <rFont val="MS Pゴシック"/>
        <family val="0"/>
        <charset val="1"/>
      </rPr>
      <t xml:space="preserve">11</t>
    </r>
    <r>
      <rPr>
        <sz val="9"/>
        <color rgb="FF000000"/>
        <rFont val="WenQuanYi Zen Hei"/>
        <family val="2"/>
      </rPr>
      <t xml:space="preserve">番</t>
    </r>
    <r>
      <rPr>
        <sz val="9"/>
        <color rgb="FF000000"/>
        <rFont val="MS Pゴシック"/>
        <family val="0"/>
        <charset val="1"/>
      </rPr>
      <t xml:space="preserve">23</t>
    </r>
    <r>
      <rPr>
        <sz val="9"/>
        <color rgb="FF000000"/>
        <rFont val="WenQuanYi Zen Hei"/>
        <family val="2"/>
      </rPr>
      <t xml:space="preserve">号</t>
    </r>
  </si>
  <si>
    <t xml:space="preserve">有限会社フクショウ</t>
  </si>
  <si>
    <t xml:space="preserve">取締役　羽原 英明</t>
  </si>
  <si>
    <t xml:space="preserve">ご請求金額（税込）</t>
  </si>
  <si>
    <t xml:space="preserve">登録番号</t>
  </si>
  <si>
    <t xml:space="preserve">T</t>
  </si>
  <si>
    <t xml:space="preserve">お支払期限</t>
  </si>
  <si>
    <t xml:space="preserve">取引年月日（納品日）</t>
  </si>
  <si>
    <t xml:space="preserve">← 消費税率（注文書と連動）</t>
  </si>
  <si>
    <t xml:space="preserve">お振込先</t>
  </si>
  <si>
    <t xml:space="preserve">金融機関・支店</t>
  </si>
  <si>
    <t xml:space="preserve">口座種別・番号</t>
  </si>
  <si>
    <t xml:space="preserve">口座名義</t>
  </si>
  <si>
    <t xml:space="preserve">※振込手数料は貴社にてご負担くださいますようお願い申し上げます。</t>
  </si>
  <si>
    <t xml:space="preserve">【記入方法】黄色のセル（請求番号・請求日・登録番号・支払期限・取引年月日・振込先）を記入してください。明細は「注文書」シートから自動で転記されます。</t>
  </si>
</sst>
</file>

<file path=xl/styles.xml><?xml version="1.0" encoding="utf-8"?>
<styleSheet xmlns="http://schemas.openxmlformats.org/spreadsheetml/2006/main">
  <numFmts count="5">
    <numFmt numFmtId="164" formatCode="General"/>
    <numFmt numFmtId="165" formatCode="#,##0"/>
    <numFmt numFmtId="166" formatCode="yyyy\年m\月d\日"/>
    <numFmt numFmtId="167" formatCode="\¥#,##0;&quot;-¥&quot;#,##0;\¥0"/>
    <numFmt numFmtId="168" formatCode="0%"/>
  </numFmts>
  <fonts count="24">
    <font>
      <sz val="11"/>
      <color theme="1"/>
      <name val="Calibri"/>
      <family val="2"/>
      <charset val="1"/>
    </font>
    <font>
      <sz val="10"/>
      <name val="Arial"/>
      <family val="0"/>
    </font>
    <font>
      <sz val="10"/>
      <name val="Arial"/>
      <family val="0"/>
    </font>
    <font>
      <sz val="10"/>
      <name val="Arial"/>
      <family val="0"/>
    </font>
    <font>
      <b val="true"/>
      <sz val="12"/>
      <color rgb="FF000000"/>
      <name val="MS Pゴシック"/>
      <family val="0"/>
      <charset val="1"/>
    </font>
    <font>
      <b val="true"/>
      <sz val="12"/>
      <color rgb="FF000000"/>
      <name val="WenQuanYi Zen Hei"/>
      <family val="2"/>
    </font>
    <font>
      <sz val="9"/>
      <color rgb="FF000000"/>
      <name val="WenQuanYi Zen Hei"/>
      <family val="2"/>
    </font>
    <font>
      <sz val="9"/>
      <color rgb="FF000000"/>
      <name val="MS Pゴシック"/>
      <family val="0"/>
      <charset val="1"/>
    </font>
    <font>
      <b val="true"/>
      <sz val="10"/>
      <color rgb="FF000000"/>
      <name val="MS Pゴシック"/>
      <family val="0"/>
      <charset val="1"/>
    </font>
    <font>
      <b val="true"/>
      <sz val="10"/>
      <color rgb="FF000000"/>
      <name val="WenQuanYi Zen Hei"/>
      <family val="2"/>
    </font>
    <font>
      <sz val="10"/>
      <color rgb="FF000000"/>
      <name val="MS Pゴシック"/>
      <family val="0"/>
      <charset val="1"/>
    </font>
    <font>
      <sz val="10"/>
      <color rgb="FF000000"/>
      <name val="WenQuanYi Zen Hei"/>
      <family val="2"/>
    </font>
    <font>
      <sz val="10"/>
      <color rgb="FF0000FF"/>
      <name val="MS Pゴシック"/>
      <family val="0"/>
      <charset val="1"/>
    </font>
    <font>
      <b val="true"/>
      <sz val="20"/>
      <color rgb="FF000000"/>
      <name val="WenQuanYi Zen Hei"/>
      <family val="2"/>
    </font>
    <font>
      <b val="true"/>
      <sz val="14"/>
      <color rgb="FF000000"/>
      <name val="WenQuanYi Zen Hei"/>
      <family val="2"/>
    </font>
    <font>
      <b val="true"/>
      <sz val="11"/>
      <color rgb="FF000000"/>
      <name val="WenQuanYi Zen Hei"/>
      <family val="2"/>
    </font>
    <font>
      <sz val="11"/>
      <color theme="1"/>
      <name val="WenQuanYi Zen Hei"/>
      <family val="2"/>
    </font>
    <font>
      <sz val="9"/>
      <color rgb="FF808080"/>
      <name val="WenQuanYi Zen Hei"/>
      <family val="2"/>
    </font>
    <font>
      <sz val="8"/>
      <color rgb="FF000000"/>
      <name val="WenQuanYi Zen Hei"/>
      <family val="2"/>
    </font>
    <font>
      <sz val="10"/>
      <name val="WenQuanYi Zen Hei"/>
      <family val="2"/>
    </font>
    <font>
      <b val="true"/>
      <sz val="13"/>
      <color rgb="FF000000"/>
      <name val="WenQuanYi Zen Hei"/>
      <family val="2"/>
    </font>
    <font>
      <b val="true"/>
      <sz val="18"/>
      <color rgb="FF000000"/>
      <name val="MS Pゴシック"/>
      <family val="0"/>
      <charset val="1"/>
    </font>
    <font>
      <sz val="10"/>
      <color rgb="FF008000"/>
      <name val="MS Pゴシック"/>
      <family val="0"/>
      <charset val="1"/>
    </font>
    <font>
      <sz val="10"/>
      <name val="Arial"/>
      <family val="2"/>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top style="thin"/>
      <bottom style="thin"/>
      <diagonal/>
    </border>
    <border diagonalUp="false" diagonalDown="false">
      <left/>
      <right/>
      <top/>
      <bottom style="medium"/>
      <diagonal/>
    </border>
    <border diagonalUp="false" diagonalDown="false">
      <left style="thin"/>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false">
      <alignment horizontal="general" vertical="center" textRotation="0" wrapText="false" indent="0" shrinkToFit="false"/>
      <protection locked="true" hidden="false"/>
    </xf>
    <xf numFmtId="164" fontId="11" fillId="0" borderId="1" xfId="0" applyFont="true" applyBorder="true" applyAlignment="true" applyProtection="false">
      <alignment horizontal="general" vertical="center" textRotation="0" wrapText="false" indent="0" shrinkToFit="false"/>
      <protection locked="true" hidden="false"/>
    </xf>
    <xf numFmtId="164" fontId="13" fillId="0"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right" vertical="center" textRotation="0" wrapText="true" indent="0" shrinkToFit="false"/>
      <protection locked="true" hidden="false"/>
    </xf>
    <xf numFmtId="164" fontId="10" fillId="3" borderId="2" xfId="0" applyFont="true" applyBorder="true" applyAlignment="true" applyProtection="false">
      <alignment horizontal="general" vertical="center" textRotation="0" wrapText="false" indent="0" shrinkToFit="false"/>
      <protection locked="true" hidden="false"/>
    </xf>
    <xf numFmtId="164" fontId="14" fillId="0" borderId="2" xfId="0" applyFont="true" applyBorder="true" applyAlignment="true" applyProtection="false">
      <alignment horizontal="general" vertical="center" textRotation="0" wrapText="false" indent="0" shrinkToFit="false"/>
      <protection locked="true" hidden="false"/>
    </xf>
    <xf numFmtId="166" fontId="10" fillId="3" borderId="2"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4" fontId="16" fillId="0" borderId="2" xfId="0" applyFont="true" applyBorder="true" applyAlignment="fals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true" indent="0" shrinkToFit="false"/>
      <protection locked="true" hidden="false"/>
    </xf>
    <xf numFmtId="164" fontId="9" fillId="3" borderId="3" xfId="0" applyFont="true" applyBorder="tru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right" vertical="center" textRotation="0" wrapText="true" indent="0" shrinkToFit="false"/>
      <protection locked="true" hidden="false"/>
    </xf>
    <xf numFmtId="167" fontId="4" fillId="0" borderId="4" xfId="0" applyFont="true" applyBorder="true" applyAlignment="true" applyProtection="false">
      <alignment horizontal="general" vertical="center" textRotation="0" wrapText="false" indent="0" shrinkToFit="false"/>
      <protection locked="true" hidden="false"/>
    </xf>
    <xf numFmtId="168" fontId="12" fillId="0" borderId="0" xfId="0" applyFont="true" applyBorder="fals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5" fontId="12" fillId="3" borderId="1" xfId="0" applyFont="tru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true" applyProtection="false">
      <alignment horizontal="general" vertical="center" textRotation="0" wrapText="true" indent="0" shrinkToFit="false"/>
      <protection locked="true" hidden="false"/>
    </xf>
    <xf numFmtId="167" fontId="10"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7" fontId="10"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center" textRotation="0" wrapText="false" indent="0" shrinkToFit="false"/>
      <protection locked="true" hidden="false"/>
    </xf>
    <xf numFmtId="164" fontId="10" fillId="3" borderId="5" xfId="0" applyFont="true" applyBorder="true" applyAlignment="true" applyProtection="false">
      <alignment horizontal="general" vertical="center"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true" applyAlignment="true" applyProtection="false">
      <alignment horizontal="general" vertical="center" textRotation="0" wrapText="false" indent="0" shrinkToFit="false"/>
      <protection locked="true" hidden="false"/>
    </xf>
    <xf numFmtId="167" fontId="21" fillId="0" borderId="4" xfId="0" applyFont="true" applyBorder="true" applyAlignment="true" applyProtection="false">
      <alignment horizontal="left" vertical="center" textRotation="0" wrapText="true" indent="0" shrinkToFit="false"/>
      <protection locked="true" hidden="false"/>
    </xf>
    <xf numFmtId="168" fontId="22" fillId="0" borderId="0" xfId="0" applyFont="true" applyBorder="false" applyAlignment="true" applyProtection="false">
      <alignment horizontal="general" vertical="center" textRotation="0" wrapText="fals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10" fillId="3" borderId="1"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8"/>
    <col collapsed="false" customWidth="true" hidden="false" outlineLevel="0" max="3" min="3" style="0" width="6"/>
    <col collapsed="false" customWidth="true" hidden="false" outlineLevel="0" max="5" min="4" style="0" width="24"/>
    <col collapsed="false" customWidth="true" hidden="false" outlineLevel="0" max="6" min="6" style="0" width="16"/>
  </cols>
  <sheetData>
    <row r="1" customFormat="false" ht="17.15" hidden="false" customHeight="false" outlineLevel="0" collapsed="false">
      <c r="A1" s="1" t="s">
        <v>0</v>
      </c>
    </row>
    <row r="2" customFormat="false" ht="15" hidden="false" customHeight="false" outlineLevel="0" collapsed="false">
      <c r="A2" s="2" t="s">
        <v>1</v>
      </c>
    </row>
    <row r="4" customFormat="false" ht="26.85" hidden="false" customHeight="false" outlineLevel="0" collapsed="false">
      <c r="A4" s="3" t="s">
        <v>2</v>
      </c>
      <c r="B4" s="4" t="s">
        <v>3</v>
      </c>
      <c r="C4" s="4" t="s">
        <v>4</v>
      </c>
      <c r="D4" s="4" t="s">
        <v>5</v>
      </c>
      <c r="E4" s="4" t="s">
        <v>6</v>
      </c>
      <c r="F4" s="4" t="s">
        <v>7</v>
      </c>
    </row>
    <row r="5" customFormat="false" ht="15" hidden="false" customHeight="false" outlineLevel="0" collapsed="false">
      <c r="A5" s="5" t="n">
        <v>1</v>
      </c>
      <c r="B5" s="6" t="s">
        <v>8</v>
      </c>
      <c r="C5" s="7" t="s">
        <v>9</v>
      </c>
      <c r="D5" s="8" t="n">
        <v>131000</v>
      </c>
      <c r="E5" s="8" t="n">
        <v>144000</v>
      </c>
      <c r="F5" s="6"/>
    </row>
    <row r="6" customFormat="false" ht="15" hidden="false" customHeight="false" outlineLevel="0" collapsed="false">
      <c r="A6" s="5" t="n">
        <v>2</v>
      </c>
      <c r="B6" s="6" t="s">
        <v>10</v>
      </c>
      <c r="C6" s="7" t="s">
        <v>11</v>
      </c>
      <c r="D6" s="8" t="n">
        <v>14200</v>
      </c>
      <c r="E6" s="8" t="n">
        <v>15200</v>
      </c>
      <c r="F6" s="6"/>
    </row>
    <row r="7" customFormat="false" ht="15" hidden="false" customHeight="false" outlineLevel="0" collapsed="false">
      <c r="A7" s="5" t="n">
        <v>3</v>
      </c>
      <c r="B7" s="6" t="s">
        <v>12</v>
      </c>
      <c r="C7" s="7" t="s">
        <v>13</v>
      </c>
      <c r="D7" s="8" t="n">
        <v>22000</v>
      </c>
      <c r="E7" s="8" t="n">
        <v>23550</v>
      </c>
      <c r="F7" s="6"/>
    </row>
    <row r="8" customFormat="false" ht="15" hidden="false" customHeight="false" outlineLevel="0" collapsed="false">
      <c r="A8" s="5" t="n">
        <v>4</v>
      </c>
      <c r="B8" s="9" t="s">
        <v>14</v>
      </c>
      <c r="C8" s="7" t="s">
        <v>9</v>
      </c>
      <c r="D8" s="8" t="n">
        <v>43300</v>
      </c>
      <c r="E8" s="8" t="n">
        <v>45500</v>
      </c>
      <c r="F8" s="6"/>
    </row>
    <row r="9" customFormat="false" ht="15" hidden="false" customHeight="false" outlineLevel="0" collapsed="false">
      <c r="A9" s="5" t="n">
        <v>5</v>
      </c>
      <c r="B9" s="9" t="s">
        <v>15</v>
      </c>
      <c r="C9" s="7" t="s">
        <v>13</v>
      </c>
      <c r="D9" s="8" t="n">
        <v>83000</v>
      </c>
      <c r="E9" s="8" t="n">
        <v>87100</v>
      </c>
      <c r="F9" s="9" t="s">
        <v>16</v>
      </c>
    </row>
    <row r="10" customFormat="false" ht="15" hidden="false" customHeight="false" outlineLevel="0" collapsed="false">
      <c r="A10" s="5" t="n">
        <v>6</v>
      </c>
      <c r="B10" s="9" t="s">
        <v>17</v>
      </c>
      <c r="C10" s="7" t="s">
        <v>13</v>
      </c>
      <c r="D10" s="8" t="n">
        <v>63000</v>
      </c>
      <c r="E10" s="8" t="n">
        <v>66100</v>
      </c>
      <c r="F10" s="9" t="s">
        <v>18</v>
      </c>
    </row>
    <row r="11" customFormat="false" ht="15" hidden="false" customHeight="false" outlineLevel="0" collapsed="false">
      <c r="A11" s="5" t="n">
        <v>7</v>
      </c>
      <c r="B11" s="9" t="s">
        <v>19</v>
      </c>
      <c r="C11" s="7" t="s">
        <v>11</v>
      </c>
      <c r="D11" s="8" t="n">
        <v>3000</v>
      </c>
      <c r="E11" s="8" t="n">
        <v>3000</v>
      </c>
      <c r="F11" s="9" t="s">
        <v>20</v>
      </c>
    </row>
    <row r="12" customFormat="false" ht="15" hidden="false" customHeight="false" outlineLevel="0" collapsed="false">
      <c r="A12" s="5" t="n">
        <v>8</v>
      </c>
      <c r="B12" s="9" t="s">
        <v>21</v>
      </c>
      <c r="C12" s="7" t="s">
        <v>11</v>
      </c>
      <c r="D12" s="8" t="n">
        <v>3000</v>
      </c>
      <c r="E12" s="8" t="n">
        <v>3000</v>
      </c>
      <c r="F12" s="9" t="s">
        <v>22</v>
      </c>
    </row>
    <row r="13" customFormat="false" ht="15" hidden="false" customHeight="false" outlineLevel="0" collapsed="false">
      <c r="A13" s="5" t="n">
        <v>9</v>
      </c>
      <c r="B13" s="9" t="s">
        <v>23</v>
      </c>
      <c r="C13" s="7" t="s">
        <v>11</v>
      </c>
      <c r="D13" s="8" t="n">
        <v>18900</v>
      </c>
      <c r="E13" s="8" t="n">
        <v>20690</v>
      </c>
      <c r="F13" s="6"/>
    </row>
    <row r="15" customFormat="false" ht="15" hidden="false" customHeight="false" outlineLevel="0" collapsed="false">
      <c r="A15" s="2"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7"/>
    <col collapsed="false" customWidth="true" hidden="false" outlineLevel="0" max="4" min="4" style="0" width="6"/>
    <col collapsed="false" customWidth="true" hidden="false" outlineLevel="0" max="5" min="5" style="0" width="12"/>
    <col collapsed="false" customWidth="true" hidden="false" outlineLevel="0" max="6" min="6" style="0" width="14"/>
    <col collapsed="false" customWidth="true" hidden="false" outlineLevel="0" max="7" min="7" style="0" width="16"/>
  </cols>
  <sheetData>
    <row r="1" customFormat="false" ht="26.85" hidden="false" customHeight="true" outlineLevel="0" collapsed="false">
      <c r="A1" s="10" t="s">
        <v>25</v>
      </c>
      <c r="B1" s="10"/>
      <c r="C1" s="10"/>
      <c r="D1" s="10"/>
      <c r="E1" s="10"/>
      <c r="F1" s="10"/>
      <c r="G1" s="10"/>
    </row>
    <row r="2" customFormat="false" ht="15" hidden="false" customHeight="false" outlineLevel="0" collapsed="false">
      <c r="F2" s="11" t="s">
        <v>26</v>
      </c>
      <c r="G2" s="12"/>
    </row>
    <row r="3" customFormat="false" ht="17.35" hidden="false" customHeight="false" outlineLevel="0" collapsed="false">
      <c r="A3" s="13" t="s">
        <v>27</v>
      </c>
      <c r="B3" s="13"/>
      <c r="C3" s="13"/>
      <c r="F3" s="11" t="s">
        <v>28</v>
      </c>
      <c r="G3" s="14"/>
    </row>
    <row r="4" customFormat="false" ht="15" hidden="false" customHeight="false" outlineLevel="0" collapsed="false">
      <c r="A4" s="2" t="s">
        <v>29</v>
      </c>
    </row>
    <row r="5" customFormat="false" ht="15" hidden="false" customHeight="false" outlineLevel="0" collapsed="false">
      <c r="A5" s="15" t="s">
        <v>30</v>
      </c>
      <c r="E5" s="16" t="s">
        <v>31</v>
      </c>
    </row>
    <row r="6" customFormat="false" ht="15" hidden="false" customHeight="false" outlineLevel="0" collapsed="false">
      <c r="E6" s="17" t="s">
        <v>32</v>
      </c>
    </row>
    <row r="7" customFormat="false" ht="15" hidden="false" customHeight="false" outlineLevel="0" collapsed="false">
      <c r="A7" s="18" t="s">
        <v>33</v>
      </c>
      <c r="E7" s="2" t="s">
        <v>34</v>
      </c>
      <c r="F7" s="12"/>
      <c r="G7" s="12"/>
    </row>
    <row r="8" customFormat="false" ht="15" hidden="false" customHeight="false" outlineLevel="0" collapsed="false">
      <c r="A8" s="2" t="s">
        <v>35</v>
      </c>
      <c r="E8" s="15" t="s">
        <v>36</v>
      </c>
      <c r="F8" s="12"/>
      <c r="G8" s="12"/>
    </row>
    <row r="9" customFormat="false" ht="15" hidden="false" customHeight="false" outlineLevel="0" collapsed="false">
      <c r="E9" s="2" t="s">
        <v>37</v>
      </c>
      <c r="F9" s="12"/>
      <c r="G9" s="12"/>
    </row>
    <row r="10" customFormat="false" ht="15" hidden="false" customHeight="false" outlineLevel="0" collapsed="false">
      <c r="B10" s="19" t="s">
        <v>38</v>
      </c>
      <c r="C10" s="20" t="s">
        <v>39</v>
      </c>
      <c r="D10" s="20"/>
      <c r="G10" s="21" t="s">
        <v>40</v>
      </c>
    </row>
    <row r="11" customFormat="false" ht="15" hidden="false" customHeight="false" outlineLevel="0" collapsed="false">
      <c r="B11" s="19" t="s">
        <v>41</v>
      </c>
      <c r="C11" s="12"/>
      <c r="D11" s="12"/>
    </row>
    <row r="12" customFormat="false" ht="15" hidden="false" customHeight="false" outlineLevel="0" collapsed="false">
      <c r="B12" s="19" t="s">
        <v>42</v>
      </c>
      <c r="C12" s="12"/>
      <c r="D12" s="12"/>
    </row>
    <row r="13" customFormat="false" ht="15" hidden="false" customHeight="false" outlineLevel="0" collapsed="false">
      <c r="A13" s="18"/>
      <c r="B13" s="16" t="s">
        <v>43</v>
      </c>
      <c r="C13" s="22" t="s">
        <v>44</v>
      </c>
      <c r="D13" s="22"/>
      <c r="E13" s="22"/>
      <c r="F13" s="23" t="s">
        <v>45</v>
      </c>
      <c r="G13" s="24" t="n">
        <f aca="false">F29</f>
        <v>419540</v>
      </c>
      <c r="I13" s="25" t="n">
        <v>0.1</v>
      </c>
      <c r="J13" s="2" t="s">
        <v>46</v>
      </c>
    </row>
    <row r="15" customFormat="false" ht="15" hidden="false" customHeight="false" outlineLevel="0" collapsed="false">
      <c r="A15" s="3" t="s">
        <v>2</v>
      </c>
      <c r="B15" s="4" t="s">
        <v>3</v>
      </c>
      <c r="C15" s="4" t="s">
        <v>47</v>
      </c>
      <c r="D15" s="4" t="s">
        <v>4</v>
      </c>
      <c r="E15" s="4" t="s">
        <v>48</v>
      </c>
      <c r="F15" s="4" t="s">
        <v>49</v>
      </c>
      <c r="G15" s="4" t="s">
        <v>7</v>
      </c>
    </row>
    <row r="16" customFormat="false" ht="21.75" hidden="false" customHeight="true" outlineLevel="0" collapsed="false">
      <c r="A16" s="26" t="n">
        <v>1</v>
      </c>
      <c r="B16" s="27" t="str">
        <f aca="false">見積単価!B5</f>
        <v>BP-130LiⅢα 本体のみ</v>
      </c>
      <c r="C16" s="28" t="n">
        <v>1</v>
      </c>
      <c r="D16" s="26" t="str">
        <f aca="false">見積単価!C5</f>
        <v>台</v>
      </c>
      <c r="E16" s="29" t="n">
        <f aca="false">IF($C$13="改定後（2026/10/21～）",見積単価!E5,見積単価!D5)</f>
        <v>131000</v>
      </c>
      <c r="F16" s="30" t="n">
        <f aca="false">IF(C16="","",C16*E16)</f>
        <v>131000</v>
      </c>
      <c r="G16" s="31" t="str">
        <f aca="false">IF(見積単価!F5="","",見積単価!F5)</f>
        <v/>
      </c>
    </row>
    <row r="17" customFormat="false" ht="21.75" hidden="false" customHeight="true" outlineLevel="0" collapsed="false">
      <c r="A17" s="26" t="n">
        <v>2</v>
      </c>
      <c r="B17" s="27" t="str">
        <f aca="false">見積単価!B6</f>
        <v>BP-130LiⅢα用パッド台</v>
      </c>
      <c r="C17" s="28" t="n">
        <v>1</v>
      </c>
      <c r="D17" s="26" t="str">
        <f aca="false">見積単価!C6</f>
        <v>枚</v>
      </c>
      <c r="E17" s="29" t="n">
        <f aca="false">IF($C$13="改定後（2026/10/21～）",見積単価!E6,見積単価!D6)</f>
        <v>14200</v>
      </c>
      <c r="F17" s="30" t="n">
        <f aca="false">IF(C17="","",C17*E17)</f>
        <v>14200</v>
      </c>
      <c r="G17" s="31" t="str">
        <f aca="false">IF(見積単価!F6="","",見積単価!F6)</f>
        <v/>
      </c>
    </row>
    <row r="18" customFormat="false" ht="21.75" hidden="false" customHeight="true" outlineLevel="0" collapsed="false">
      <c r="A18" s="26" t="n">
        <v>3</v>
      </c>
      <c r="B18" s="27" t="str">
        <f aca="false">見積単価!B7</f>
        <v>BP-130LiⅢα用タンク</v>
      </c>
      <c r="C18" s="28" t="n">
        <v>1</v>
      </c>
      <c r="D18" s="26" t="str">
        <f aca="false">見積単価!C7</f>
        <v>個</v>
      </c>
      <c r="E18" s="29" t="n">
        <f aca="false">IF($C$13="改定後（2026/10/21～）",見積単価!E7,見積単価!D7)</f>
        <v>22000</v>
      </c>
      <c r="F18" s="30" t="n">
        <f aca="false">IF(C18="","",C18*E18)</f>
        <v>22000</v>
      </c>
      <c r="G18" s="31" t="str">
        <f aca="false">IF(見積単価!F7="","",見積単価!F7)</f>
        <v/>
      </c>
    </row>
    <row r="19" customFormat="false" ht="21.75" hidden="false" customHeight="true" outlineLevel="0" collapsed="false">
      <c r="A19" s="26" t="n">
        <v>4</v>
      </c>
      <c r="B19" s="27" t="str">
        <f aca="false">見積単価!B8</f>
        <v>充電器 CLQ-1N</v>
      </c>
      <c r="C19" s="28" t="n">
        <v>1</v>
      </c>
      <c r="D19" s="26" t="str">
        <f aca="false">見積単価!C8</f>
        <v>台</v>
      </c>
      <c r="E19" s="29" t="n">
        <f aca="false">IF($C$13="改定後（2026/10/21～）",見積単価!E8,見積単価!D8)</f>
        <v>43300</v>
      </c>
      <c r="F19" s="30" t="n">
        <f aca="false">IF(C19="","",C19*E19)</f>
        <v>43300</v>
      </c>
      <c r="G19" s="31" t="str">
        <f aca="false">IF(見積単価!F8="","",見積単価!F8)</f>
        <v/>
      </c>
    </row>
    <row r="20" customFormat="false" ht="21.75" hidden="false" customHeight="true" outlineLevel="0" collapsed="false">
      <c r="A20" s="26" t="n">
        <v>5</v>
      </c>
      <c r="B20" s="27" t="str">
        <f aca="false">見積単価!B9</f>
        <v>バッテリーLV14MX 14Ah</v>
      </c>
      <c r="C20" s="28" t="n">
        <v>1</v>
      </c>
      <c r="D20" s="26" t="str">
        <f aca="false">見積単価!C9</f>
        <v>個</v>
      </c>
      <c r="E20" s="29" t="n">
        <f aca="false">IF($C$13="改定後（2026/10/21～）",見積単価!E9,見積単価!D9)</f>
        <v>83000</v>
      </c>
      <c r="F20" s="30" t="n">
        <f aca="false">IF(C20="","",C20*E20)</f>
        <v>83000</v>
      </c>
      <c r="G20" s="31" t="str">
        <f aca="false">IF(見積単価!F9="","",見積単価!F9)</f>
        <v>使用目安100min</v>
      </c>
    </row>
    <row r="21" customFormat="false" ht="21.75" hidden="false" customHeight="true" outlineLevel="0" collapsed="false">
      <c r="A21" s="26" t="n">
        <v>6</v>
      </c>
      <c r="B21" s="27" t="str">
        <f aca="false">見積単価!B10</f>
        <v>バッテリーLV925MX</v>
      </c>
      <c r="C21" s="28" t="n">
        <v>1</v>
      </c>
      <c r="D21" s="26" t="str">
        <f aca="false">見積単価!C10</f>
        <v>個</v>
      </c>
      <c r="E21" s="29" t="n">
        <f aca="false">IF($C$13="改定後（2026/10/21～）",見積単価!E10,見積単価!D10)</f>
        <v>63000</v>
      </c>
      <c r="F21" s="30" t="n">
        <f aca="false">IF(C21="","",C21*E21)</f>
        <v>63000</v>
      </c>
      <c r="G21" s="31" t="str">
        <f aca="false">IF(見積単価!F10="","",見積単価!F10)</f>
        <v>使用目安75min</v>
      </c>
    </row>
    <row r="22" customFormat="false" ht="21.75" hidden="false" customHeight="true" outlineLevel="0" collapsed="false">
      <c r="A22" s="26" t="n">
        <v>7</v>
      </c>
      <c r="B22" s="27" t="str">
        <f aca="false">見積単価!B11</f>
        <v>コンポジットパッド13インチ シルバー</v>
      </c>
      <c r="C22" s="28" t="n">
        <v>1</v>
      </c>
      <c r="D22" s="26" t="str">
        <f aca="false">見積単価!C11</f>
        <v>枚</v>
      </c>
      <c r="E22" s="29" t="n">
        <f aca="false">IF($C$13="改定後（2026/10/21～）",見積単価!E11,見積単価!D11)</f>
        <v>3000</v>
      </c>
      <c r="F22" s="30" t="n">
        <f aca="false">IF(C22="","",C22*E22)</f>
        <v>3000</v>
      </c>
      <c r="G22" s="31" t="str">
        <f aca="false">IF(見積単価!F11="","",見積単価!F11)</f>
        <v>軽汚染用</v>
      </c>
    </row>
    <row r="23" customFormat="false" ht="21.75" hidden="false" customHeight="true" outlineLevel="0" collapsed="false">
      <c r="A23" s="26" t="n">
        <v>8</v>
      </c>
      <c r="B23" s="27" t="str">
        <f aca="false">見積単価!B12</f>
        <v>コンポジットパッド13インチ ゴールド</v>
      </c>
      <c r="C23" s="28" t="n">
        <v>1</v>
      </c>
      <c r="D23" s="26" t="str">
        <f aca="false">見積単価!C12</f>
        <v>枚</v>
      </c>
      <c r="E23" s="29" t="n">
        <f aca="false">IF($C$13="改定後（2026/10/21～）",見積単価!E12,見積単価!D12)</f>
        <v>3000</v>
      </c>
      <c r="F23" s="30" t="n">
        <f aca="false">IF(C23="","",C23*E23)</f>
        <v>3000</v>
      </c>
      <c r="G23" s="31" t="str">
        <f aca="false">IF(見積単価!F12="","",見積単価!F12)</f>
        <v>重汚染用</v>
      </c>
    </row>
    <row r="24" customFormat="false" ht="21.75" hidden="false" customHeight="true" outlineLevel="0" collapsed="false">
      <c r="A24" s="26" t="n">
        <v>9</v>
      </c>
      <c r="B24" s="27" t="str">
        <f aca="false">見積単価!B13</f>
        <v>ナイロンブラシ13インチ用</v>
      </c>
      <c r="C24" s="28" t="n">
        <v>1</v>
      </c>
      <c r="D24" s="26" t="str">
        <f aca="false">見積単価!C13</f>
        <v>枚</v>
      </c>
      <c r="E24" s="29" t="n">
        <f aca="false">IF($C$13="改定後（2026/10/21～）",見積単価!E13,見積単価!D13)</f>
        <v>18900</v>
      </c>
      <c r="F24" s="30" t="n">
        <f aca="false">IF(C24="","",C24*E24)</f>
        <v>18900</v>
      </c>
      <c r="G24" s="31" t="str">
        <f aca="false">IF(見積単価!F13="","",見積単価!F13)</f>
        <v/>
      </c>
    </row>
    <row r="25" customFormat="false" ht="21.75" hidden="false" customHeight="true" outlineLevel="0" collapsed="false">
      <c r="A25" s="27"/>
      <c r="B25" s="27"/>
      <c r="C25" s="27"/>
      <c r="D25" s="27"/>
      <c r="E25" s="27"/>
      <c r="F25" s="30"/>
      <c r="G25" s="27"/>
    </row>
    <row r="26" customFormat="false" ht="21.75" hidden="false" customHeight="true" outlineLevel="0" collapsed="false">
      <c r="A26" s="27"/>
      <c r="B26" s="27"/>
      <c r="C26" s="27"/>
      <c r="D26" s="27"/>
      <c r="E26" s="27"/>
      <c r="F26" s="30"/>
      <c r="G26" s="27"/>
    </row>
    <row r="27" customFormat="false" ht="15" hidden="false" customHeight="true" outlineLevel="0" collapsed="false">
      <c r="D27" s="32" t="s">
        <v>50</v>
      </c>
      <c r="E27" s="32"/>
      <c r="F27" s="33" t="n">
        <f aca="false">SUM(F16:F26)</f>
        <v>381400</v>
      </c>
      <c r="G27" s="34"/>
    </row>
    <row r="28" customFormat="false" ht="15" hidden="false" customHeight="true" outlineLevel="0" collapsed="false">
      <c r="D28" s="32" t="s">
        <v>51</v>
      </c>
      <c r="E28" s="32"/>
      <c r="F28" s="33" t="n">
        <f aca="false">ROUNDDOWN(F27*$I$13,0)</f>
        <v>38140</v>
      </c>
      <c r="G28" s="34"/>
    </row>
    <row r="29" customFormat="false" ht="15" hidden="false" customHeight="true" outlineLevel="0" collapsed="false">
      <c r="D29" s="4" t="s">
        <v>45</v>
      </c>
      <c r="E29" s="4"/>
      <c r="F29" s="35" t="n">
        <f aca="false">F27+F28</f>
        <v>419540</v>
      </c>
      <c r="G29" s="34"/>
    </row>
    <row r="31" customFormat="false" ht="15" hidden="false" customHeight="false" outlineLevel="0" collapsed="false">
      <c r="A31" s="16" t="s">
        <v>52</v>
      </c>
      <c r="B31" s="36"/>
      <c r="C31" s="36"/>
      <c r="D31" s="36"/>
      <c r="E31" s="36"/>
      <c r="F31" s="36"/>
      <c r="G31" s="36"/>
    </row>
    <row r="32" customFormat="false" ht="15" hidden="false" customHeight="false" outlineLevel="0" collapsed="false">
      <c r="B32" s="36"/>
      <c r="C32" s="36"/>
      <c r="D32" s="36"/>
      <c r="E32" s="36"/>
      <c r="F32" s="36"/>
      <c r="G32" s="36"/>
    </row>
    <row r="33" customFormat="false" ht="15" hidden="false" customHeight="false" outlineLevel="0" collapsed="false">
      <c r="B33" s="36"/>
      <c r="C33" s="36"/>
      <c r="D33" s="36"/>
      <c r="E33" s="36"/>
      <c r="F33" s="36"/>
      <c r="G33" s="36"/>
    </row>
    <row r="35" customFormat="false" ht="25.5" hidden="false" customHeight="true" outlineLevel="0" collapsed="false">
      <c r="A35" s="37" t="s">
        <v>53</v>
      </c>
      <c r="B35" s="37"/>
      <c r="C35" s="37"/>
      <c r="D35" s="37"/>
      <c r="E35" s="37"/>
      <c r="F35" s="37"/>
      <c r="G35" s="37"/>
    </row>
  </sheetData>
  <mergeCells count="14">
    <mergeCell ref="A1:G1"/>
    <mergeCell ref="A3:C3"/>
    <mergeCell ref="F7:G7"/>
    <mergeCell ref="F8:G8"/>
    <mergeCell ref="F9:G9"/>
    <mergeCell ref="C10:D10"/>
    <mergeCell ref="C11:D11"/>
    <mergeCell ref="C12:D12"/>
    <mergeCell ref="C13:E13"/>
    <mergeCell ref="D27:E27"/>
    <mergeCell ref="D28:E28"/>
    <mergeCell ref="D29:E29"/>
    <mergeCell ref="B31:G33"/>
    <mergeCell ref="A35:G35"/>
  </mergeCells>
  <dataValidations count="1">
    <dataValidation allowBlank="false" errorStyle="stop" operator="between" showDropDown="false" showErrorMessage="false" showInputMessage="false" sqref="C13" type="list">
      <formula1>"改定前（～2026/10/20）,改定後（2026/10/21～）"</formula1>
      <formula2>0</formula2>
    </dataValidation>
  </dataValidations>
  <printOptions headings="false" gridLines="false" gridLinesSet="true" horizontalCentered="true" verticalCentered="false"/>
  <pageMargins left="0.5" right="0.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7"/>
    <col collapsed="false" customWidth="true" hidden="false" outlineLevel="0" max="4" min="4" style="0" width="6"/>
    <col collapsed="false" customWidth="true" hidden="false" outlineLevel="0" max="5" min="5" style="0" width="12"/>
    <col collapsed="false" customWidth="true" hidden="false" outlineLevel="0" max="6" min="6" style="0" width="14"/>
    <col collapsed="false" customWidth="true" hidden="false" outlineLevel="0" max="7" min="7" style="0" width="16"/>
  </cols>
  <sheetData>
    <row r="1" customFormat="false" ht="26.85" hidden="false" customHeight="true" outlineLevel="0" collapsed="false">
      <c r="A1" s="10" t="s">
        <v>54</v>
      </c>
      <c r="B1" s="10"/>
      <c r="C1" s="10"/>
      <c r="D1" s="10"/>
      <c r="E1" s="10"/>
      <c r="F1" s="10"/>
      <c r="G1" s="10"/>
    </row>
    <row r="2" customFormat="false" ht="15" hidden="false" customHeight="false" outlineLevel="0" collapsed="false">
      <c r="F2" s="11" t="s">
        <v>55</v>
      </c>
      <c r="G2" s="12"/>
    </row>
    <row r="3" customFormat="false" ht="17.35" hidden="false" customHeight="false" outlineLevel="0" collapsed="false">
      <c r="A3" s="13" t="s">
        <v>56</v>
      </c>
      <c r="B3" s="13"/>
      <c r="C3" s="13"/>
      <c r="D3" s="13"/>
      <c r="F3" s="11" t="s">
        <v>57</v>
      </c>
      <c r="G3" s="14"/>
    </row>
    <row r="5" customFormat="false" ht="15" hidden="false" customHeight="false" outlineLevel="0" collapsed="false">
      <c r="A5" s="18" t="s">
        <v>58</v>
      </c>
      <c r="E5" s="2" t="s">
        <v>59</v>
      </c>
    </row>
    <row r="6" customFormat="false" ht="15" hidden="false" customHeight="false" outlineLevel="0" collapsed="false">
      <c r="A6" s="38" t="str">
        <f aca="false">"ご注文番号："&amp;注文書!G2</f>
        <v>ご注文番号：</v>
      </c>
      <c r="B6" s="38"/>
      <c r="C6" s="38"/>
      <c r="E6" s="2" t="s">
        <v>60</v>
      </c>
    </row>
    <row r="7" customFormat="false" ht="16.15" hidden="false" customHeight="false" outlineLevel="0" collapsed="false">
      <c r="E7" s="39" t="s">
        <v>61</v>
      </c>
    </row>
    <row r="8" customFormat="false" ht="15" hidden="false" customHeight="false" outlineLevel="0" collapsed="false">
      <c r="E8" s="18" t="s">
        <v>62</v>
      </c>
    </row>
    <row r="9" customFormat="false" ht="15" hidden="false" customHeight="false" outlineLevel="0" collapsed="false">
      <c r="A9" s="40" t="s">
        <v>63</v>
      </c>
      <c r="B9" s="40"/>
      <c r="E9" s="15" t="s">
        <v>30</v>
      </c>
    </row>
    <row r="10" customFormat="false" ht="27.75" hidden="false" customHeight="true" outlineLevel="0" collapsed="false">
      <c r="A10" s="41" t="n">
        <f aca="false">F29</f>
        <v>419540</v>
      </c>
      <c r="B10" s="41"/>
      <c r="C10" s="41"/>
      <c r="E10" s="2" t="s">
        <v>64</v>
      </c>
      <c r="F10" s="12" t="s">
        <v>65</v>
      </c>
      <c r="G10" s="12"/>
    </row>
    <row r="11" customFormat="false" ht="15" hidden="false" customHeight="false" outlineLevel="0" collapsed="false">
      <c r="G11" s="21" t="s">
        <v>40</v>
      </c>
    </row>
    <row r="12" customFormat="false" ht="15" hidden="false" customHeight="false" outlineLevel="0" collapsed="false">
      <c r="A12" s="18"/>
      <c r="B12" s="18" t="s">
        <v>66</v>
      </c>
      <c r="C12" s="14"/>
      <c r="D12" s="14"/>
    </row>
    <row r="13" customFormat="false" ht="15" hidden="false" customHeight="false" outlineLevel="0" collapsed="false">
      <c r="B13" s="18" t="s">
        <v>67</v>
      </c>
      <c r="C13" s="14"/>
      <c r="D13" s="14"/>
      <c r="I13" s="42" t="n">
        <f aca="false">注文書!I13</f>
        <v>0.1</v>
      </c>
      <c r="J13" s="2" t="s">
        <v>68</v>
      </c>
    </row>
    <row r="15" customFormat="false" ht="15" hidden="false" customHeight="false" outlineLevel="0" collapsed="false">
      <c r="A15" s="3" t="s">
        <v>2</v>
      </c>
      <c r="B15" s="4" t="s">
        <v>3</v>
      </c>
      <c r="C15" s="4" t="s">
        <v>47</v>
      </c>
      <c r="D15" s="4" t="s">
        <v>4</v>
      </c>
      <c r="E15" s="4" t="s">
        <v>48</v>
      </c>
      <c r="F15" s="4" t="s">
        <v>49</v>
      </c>
      <c r="G15" s="4" t="s">
        <v>7</v>
      </c>
    </row>
    <row r="16" customFormat="false" ht="21.75" hidden="false" customHeight="true" outlineLevel="0" collapsed="false">
      <c r="A16" s="26" t="n">
        <v>1</v>
      </c>
      <c r="B16" s="27" t="str">
        <f aca="false">IF(注文書!B16="","",注文書!B16)</f>
        <v>BP-130LiⅢα 本体のみ</v>
      </c>
      <c r="C16" s="29" t="n">
        <f aca="false">IF(注文書!C16="","",注文書!C16)</f>
        <v>1</v>
      </c>
      <c r="D16" s="26" t="str">
        <f aca="false">IF(注文書!D16="","",注文書!D16)</f>
        <v>台</v>
      </c>
      <c r="E16" s="29" t="n">
        <f aca="false">IF(注文書!E16="","",注文書!E16)</f>
        <v>131000</v>
      </c>
      <c r="F16" s="30" t="n">
        <f aca="false">IF(OR(C16="",E16=""),"",C16*E16)</f>
        <v>131000</v>
      </c>
      <c r="G16" s="31" t="str">
        <f aca="false">IF(注文書!G16="","",注文書!G16)</f>
        <v/>
      </c>
    </row>
    <row r="17" customFormat="false" ht="21.75" hidden="false" customHeight="true" outlineLevel="0" collapsed="false">
      <c r="A17" s="26" t="n">
        <v>2</v>
      </c>
      <c r="B17" s="27" t="str">
        <f aca="false">IF(注文書!B17="","",注文書!B17)</f>
        <v>BP-130LiⅢα用パッド台</v>
      </c>
      <c r="C17" s="29" t="n">
        <f aca="false">IF(注文書!C17="","",注文書!C17)</f>
        <v>1</v>
      </c>
      <c r="D17" s="26" t="str">
        <f aca="false">IF(注文書!D17="","",注文書!D17)</f>
        <v>枚</v>
      </c>
      <c r="E17" s="29" t="n">
        <f aca="false">IF(注文書!E17="","",注文書!E17)</f>
        <v>14200</v>
      </c>
      <c r="F17" s="30" t="n">
        <f aca="false">IF(OR(C17="",E17=""),"",C17*E17)</f>
        <v>14200</v>
      </c>
      <c r="G17" s="31" t="str">
        <f aca="false">IF(注文書!G17="","",注文書!G17)</f>
        <v/>
      </c>
    </row>
    <row r="18" customFormat="false" ht="21.75" hidden="false" customHeight="true" outlineLevel="0" collapsed="false">
      <c r="A18" s="26" t="n">
        <v>3</v>
      </c>
      <c r="B18" s="27" t="str">
        <f aca="false">IF(注文書!B18="","",注文書!B18)</f>
        <v>BP-130LiⅢα用タンク</v>
      </c>
      <c r="C18" s="29" t="n">
        <f aca="false">IF(注文書!C18="","",注文書!C18)</f>
        <v>1</v>
      </c>
      <c r="D18" s="26" t="str">
        <f aca="false">IF(注文書!D18="","",注文書!D18)</f>
        <v>個</v>
      </c>
      <c r="E18" s="29" t="n">
        <f aca="false">IF(注文書!E18="","",注文書!E18)</f>
        <v>22000</v>
      </c>
      <c r="F18" s="30" t="n">
        <f aca="false">IF(OR(C18="",E18=""),"",C18*E18)</f>
        <v>22000</v>
      </c>
      <c r="G18" s="31" t="str">
        <f aca="false">IF(注文書!G18="","",注文書!G18)</f>
        <v/>
      </c>
    </row>
    <row r="19" customFormat="false" ht="21.75" hidden="false" customHeight="true" outlineLevel="0" collapsed="false">
      <c r="A19" s="26" t="n">
        <v>4</v>
      </c>
      <c r="B19" s="27" t="str">
        <f aca="false">IF(注文書!B19="","",注文書!B19)</f>
        <v>充電器 CLQ-1N</v>
      </c>
      <c r="C19" s="29" t="n">
        <f aca="false">IF(注文書!C19="","",注文書!C19)</f>
        <v>1</v>
      </c>
      <c r="D19" s="26" t="str">
        <f aca="false">IF(注文書!D19="","",注文書!D19)</f>
        <v>台</v>
      </c>
      <c r="E19" s="29" t="n">
        <f aca="false">IF(注文書!E19="","",注文書!E19)</f>
        <v>43300</v>
      </c>
      <c r="F19" s="30" t="n">
        <f aca="false">IF(OR(C19="",E19=""),"",C19*E19)</f>
        <v>43300</v>
      </c>
      <c r="G19" s="31" t="str">
        <f aca="false">IF(注文書!G19="","",注文書!G19)</f>
        <v/>
      </c>
    </row>
    <row r="20" customFormat="false" ht="21.75" hidden="false" customHeight="true" outlineLevel="0" collapsed="false">
      <c r="A20" s="26" t="n">
        <v>5</v>
      </c>
      <c r="B20" s="27" t="str">
        <f aca="false">IF(注文書!B20="","",注文書!B20)</f>
        <v>バッテリーLV14MX 14Ah</v>
      </c>
      <c r="C20" s="29" t="n">
        <f aca="false">IF(注文書!C20="","",注文書!C20)</f>
        <v>1</v>
      </c>
      <c r="D20" s="26" t="str">
        <f aca="false">IF(注文書!D20="","",注文書!D20)</f>
        <v>個</v>
      </c>
      <c r="E20" s="29" t="n">
        <f aca="false">IF(注文書!E20="","",注文書!E20)</f>
        <v>83000</v>
      </c>
      <c r="F20" s="30" t="n">
        <f aca="false">IF(OR(C20="",E20=""),"",C20*E20)</f>
        <v>83000</v>
      </c>
      <c r="G20" s="31" t="str">
        <f aca="false">IF(注文書!G20="","",注文書!G20)</f>
        <v>使用目安100min</v>
      </c>
    </row>
    <row r="21" customFormat="false" ht="21.75" hidden="false" customHeight="true" outlineLevel="0" collapsed="false">
      <c r="A21" s="26" t="n">
        <v>6</v>
      </c>
      <c r="B21" s="27" t="str">
        <f aca="false">IF(注文書!B21="","",注文書!B21)</f>
        <v>バッテリーLV925MX</v>
      </c>
      <c r="C21" s="29" t="n">
        <f aca="false">IF(注文書!C21="","",注文書!C21)</f>
        <v>1</v>
      </c>
      <c r="D21" s="26" t="str">
        <f aca="false">IF(注文書!D21="","",注文書!D21)</f>
        <v>個</v>
      </c>
      <c r="E21" s="29" t="n">
        <f aca="false">IF(注文書!E21="","",注文書!E21)</f>
        <v>63000</v>
      </c>
      <c r="F21" s="30" t="n">
        <f aca="false">IF(OR(C21="",E21=""),"",C21*E21)</f>
        <v>63000</v>
      </c>
      <c r="G21" s="31" t="str">
        <f aca="false">IF(注文書!G21="","",注文書!G21)</f>
        <v>使用目安75min</v>
      </c>
    </row>
    <row r="22" customFormat="false" ht="21.75" hidden="false" customHeight="true" outlineLevel="0" collapsed="false">
      <c r="A22" s="26" t="n">
        <v>7</v>
      </c>
      <c r="B22" s="27" t="str">
        <f aca="false">IF(注文書!B22="","",注文書!B22)</f>
        <v>コンポジットパッド13インチ シルバー</v>
      </c>
      <c r="C22" s="29" t="n">
        <f aca="false">IF(注文書!C22="","",注文書!C22)</f>
        <v>1</v>
      </c>
      <c r="D22" s="26" t="str">
        <f aca="false">IF(注文書!D22="","",注文書!D22)</f>
        <v>枚</v>
      </c>
      <c r="E22" s="29" t="n">
        <f aca="false">IF(注文書!E22="","",注文書!E22)</f>
        <v>3000</v>
      </c>
      <c r="F22" s="30" t="n">
        <f aca="false">IF(OR(C22="",E22=""),"",C22*E22)</f>
        <v>3000</v>
      </c>
      <c r="G22" s="31" t="str">
        <f aca="false">IF(注文書!G22="","",注文書!G22)</f>
        <v>軽汚染用</v>
      </c>
    </row>
    <row r="23" customFormat="false" ht="21.75" hidden="false" customHeight="true" outlineLevel="0" collapsed="false">
      <c r="A23" s="26" t="n">
        <v>8</v>
      </c>
      <c r="B23" s="27" t="str">
        <f aca="false">IF(注文書!B23="","",注文書!B23)</f>
        <v>コンポジットパッド13インチ ゴールド</v>
      </c>
      <c r="C23" s="29" t="n">
        <f aca="false">IF(注文書!C23="","",注文書!C23)</f>
        <v>1</v>
      </c>
      <c r="D23" s="26" t="str">
        <f aca="false">IF(注文書!D23="","",注文書!D23)</f>
        <v>枚</v>
      </c>
      <c r="E23" s="29" t="n">
        <f aca="false">IF(注文書!E23="","",注文書!E23)</f>
        <v>3000</v>
      </c>
      <c r="F23" s="30" t="n">
        <f aca="false">IF(OR(C23="",E23=""),"",C23*E23)</f>
        <v>3000</v>
      </c>
      <c r="G23" s="31" t="str">
        <f aca="false">IF(注文書!G23="","",注文書!G23)</f>
        <v>重汚染用</v>
      </c>
    </row>
    <row r="24" customFormat="false" ht="21.75" hidden="false" customHeight="true" outlineLevel="0" collapsed="false">
      <c r="A24" s="26" t="n">
        <v>9</v>
      </c>
      <c r="B24" s="27" t="str">
        <f aca="false">IF(注文書!B24="","",注文書!B24)</f>
        <v>ナイロンブラシ13インチ用</v>
      </c>
      <c r="C24" s="29" t="n">
        <f aca="false">IF(注文書!C24="","",注文書!C24)</f>
        <v>1</v>
      </c>
      <c r="D24" s="26" t="str">
        <f aca="false">IF(注文書!D24="","",注文書!D24)</f>
        <v>枚</v>
      </c>
      <c r="E24" s="29" t="n">
        <f aca="false">IF(注文書!E24="","",注文書!E24)</f>
        <v>18900</v>
      </c>
      <c r="F24" s="30" t="n">
        <f aca="false">IF(OR(C24="",E24=""),"",C24*E24)</f>
        <v>18900</v>
      </c>
      <c r="G24" s="31" t="str">
        <f aca="false">IF(注文書!G24="","",注文書!G24)</f>
        <v/>
      </c>
    </row>
    <row r="25" customFormat="false" ht="21.75" hidden="false" customHeight="true" outlineLevel="0" collapsed="false">
      <c r="A25" s="26"/>
      <c r="B25" s="27"/>
      <c r="C25" s="29"/>
      <c r="D25" s="26"/>
      <c r="E25" s="29"/>
      <c r="F25" s="30"/>
      <c r="G25" s="27"/>
    </row>
    <row r="26" customFormat="false" ht="21.75" hidden="false" customHeight="true" outlineLevel="0" collapsed="false">
      <c r="A26" s="26"/>
      <c r="B26" s="27"/>
      <c r="C26" s="29"/>
      <c r="D26" s="26"/>
      <c r="E26" s="29"/>
      <c r="F26" s="30"/>
      <c r="G26" s="27"/>
    </row>
    <row r="27" customFormat="false" ht="15" hidden="false" customHeight="true" outlineLevel="0" collapsed="false">
      <c r="D27" s="32" t="s">
        <v>50</v>
      </c>
      <c r="E27" s="32"/>
      <c r="F27" s="33" t="n">
        <f aca="false">SUM(F16:F26)</f>
        <v>381400</v>
      </c>
      <c r="G27" s="34"/>
    </row>
    <row r="28" customFormat="false" ht="15" hidden="false" customHeight="true" outlineLevel="0" collapsed="false">
      <c r="D28" s="32" t="s">
        <v>51</v>
      </c>
      <c r="E28" s="32"/>
      <c r="F28" s="33" t="n">
        <f aca="false">ROUNDDOWN(F27*$I$13,0)</f>
        <v>38140</v>
      </c>
      <c r="G28" s="34"/>
    </row>
    <row r="29" customFormat="false" ht="15" hidden="false" customHeight="true" outlineLevel="0" collapsed="false">
      <c r="D29" s="4" t="s">
        <v>45</v>
      </c>
      <c r="E29" s="4"/>
      <c r="F29" s="35" t="n">
        <f aca="false">F27+F28</f>
        <v>419540</v>
      </c>
      <c r="G29" s="34"/>
    </row>
    <row r="31" customFormat="false" ht="15" hidden="false" customHeight="false" outlineLevel="0" collapsed="false">
      <c r="A31" s="16" t="s">
        <v>69</v>
      </c>
    </row>
    <row r="32" customFormat="false" ht="15" hidden="false" customHeight="false" outlineLevel="0" collapsed="false">
      <c r="B32" s="43" t="s">
        <v>70</v>
      </c>
      <c r="C32" s="44"/>
      <c r="D32" s="44"/>
      <c r="E32" s="44"/>
      <c r="F32" s="44"/>
      <c r="G32" s="44"/>
    </row>
    <row r="33" customFormat="false" ht="15" hidden="false" customHeight="false" outlineLevel="0" collapsed="false">
      <c r="B33" s="43" t="s">
        <v>71</v>
      </c>
      <c r="C33" s="44"/>
      <c r="D33" s="44"/>
      <c r="E33" s="44"/>
      <c r="F33" s="44"/>
      <c r="G33" s="44"/>
    </row>
    <row r="34" customFormat="false" ht="15" hidden="false" customHeight="false" outlineLevel="0" collapsed="false">
      <c r="B34" s="43" t="s">
        <v>72</v>
      </c>
      <c r="C34" s="44"/>
      <c r="D34" s="44"/>
      <c r="E34" s="44"/>
      <c r="F34" s="44"/>
      <c r="G34" s="44"/>
    </row>
    <row r="36" customFormat="false" ht="15" hidden="false" customHeight="false" outlineLevel="0" collapsed="false">
      <c r="A36" s="2" t="s">
        <v>73</v>
      </c>
    </row>
    <row r="37" customFormat="false" ht="25.5" hidden="false" customHeight="true" outlineLevel="0" collapsed="false">
      <c r="A37" s="37" t="s">
        <v>74</v>
      </c>
      <c r="B37" s="37"/>
      <c r="C37" s="37"/>
      <c r="D37" s="37"/>
      <c r="E37" s="37"/>
      <c r="F37" s="37"/>
      <c r="G37" s="37"/>
    </row>
  </sheetData>
  <mergeCells count="15">
    <mergeCell ref="A1:G1"/>
    <mergeCell ref="A3:D3"/>
    <mergeCell ref="A6:C6"/>
    <mergeCell ref="A9:B9"/>
    <mergeCell ref="A10:C10"/>
    <mergeCell ref="F10:G10"/>
    <mergeCell ref="C12:D12"/>
    <mergeCell ref="C13:D13"/>
    <mergeCell ref="D27:E27"/>
    <mergeCell ref="D28:E28"/>
    <mergeCell ref="D29:E29"/>
    <mergeCell ref="C32:G32"/>
    <mergeCell ref="C33:G33"/>
    <mergeCell ref="C34:G34"/>
    <mergeCell ref="A37:G37"/>
  </mergeCells>
  <printOptions headings="false" gridLines="false" gridLinesSet="true" horizontalCentered="true" verticalCentered="false"/>
  <pageMargins left="0.5" right="0.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2026-10-07T11:33:33Z</dcterms:created>
  <dc:creator>openpyxl</dc:creator>
  <dc:description/>
  <dc:language>en-US</dc:language>
  <cp:lastModifiedBy/>
  <dcterms:modified xsi:type="dcterms:W3CDTF">2026-10-07T11:33:33Z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